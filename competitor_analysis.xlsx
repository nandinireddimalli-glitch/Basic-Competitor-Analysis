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mparison" sheetId="1" state="visible" r:id="rId3"/>
    <sheet name="Content Comparison" sheetId="2" state="visible" r:id="rId4"/>
    <sheet name="Social Comparison" sheetId="3" state="visible" r:id="rId5"/>
    <sheet name="Strengths &amp; Weaknesses" sheetId="4" state="visible" r:id="rId6"/>
    <sheet name="Marketing Opportunities" sheetId="5" state="visible" r:id="rId7"/>
    <sheet name="Source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<sst xmlns="http://schemas.openxmlformats.org/spreadsheetml/2006/main" count="210" uniqueCount="176">
  <si>
    <t xml:space="preserve">Competitor Comparison Sheet: Indian Ed-Tech (K-12 and Exam Prep)</t>
  </si>
  <si>
    <t xml:space="preserve">Analysis date: 02-Oct-2026. Figures come from public third-party pages (see Sources sheet); dates differ by row and are shown in each cell. 'Not found' = no reliable public figure located.</t>
  </si>
  <si>
    <t xml:space="preserve">Metric</t>
  </si>
  <si>
    <t xml:space="preserve">Physics Wallah (pw.live)</t>
  </si>
  <si>
    <t xml:space="preserve">Unacademy (unacademy.com)</t>
  </si>
  <si>
    <t xml:space="preserve">Vedantu (vedantu.com)</t>
  </si>
  <si>
    <t xml:space="preserve">Core offering</t>
  </si>
  <si>
    <t xml:space="preserve">Live and recorded batches for JEE, NEET, UPSC, GATE, CA, banking; online app plus offline centres</t>
  </si>
  <si>
    <t xml:space="preserve">Exam-prep platform for IIT JEE, NEET UG and UPSC</t>
  </si>
  <si>
    <t xml:space="preserve">Live interactive online tutoring, focused on K-12</t>
  </si>
  <si>
    <t xml:space="preserve">Business status</t>
  </si>
  <si>
    <t xml:space="preserve">Listed on stock exchange (IPO Nov 2025); FY26 revenue reported at Rs 3,495.9 Cr+</t>
  </si>
  <si>
    <t xml:space="preserve">Scaled back operations and cut staff; reported acquisition talks with upGrad</t>
  </si>
  <si>
    <t xml:space="preserve">Operating; pivot to hybrid/offline reported</t>
  </si>
  <si>
    <t xml:space="preserve">Languages</t>
  </si>
  <si>
    <t xml:space="preserve">Five vernacular languages (Sep 2024)</t>
  </si>
  <si>
    <t xml:space="preserve">Not found</t>
  </si>
  <si>
    <t xml:space="preserve">Total monthly visits, Apr 2025 (Semrush)</t>
  </si>
  <si>
    <t xml:space="preserve">8.66M</t>
  </si>
  <si>
    <t xml:space="preserve">10.99M</t>
  </si>
  <si>
    <t xml:space="preserve">Latest monthly visits (Semrush)</t>
  </si>
  <si>
    <t xml:space="preserve">6.18M (Dec 2025), +9.79% vs Nov</t>
  </si>
  <si>
    <t xml:space="preserve">10.89M (Oct 2025), -3.93% vs Sep</t>
  </si>
  <si>
    <t xml:space="preserve">Organic search visits (Ahrefs, Jun 2025)</t>
  </si>
  <si>
    <t xml:space="preserve">6.3M, 98.6% from India</t>
  </si>
  <si>
    <t xml:space="preserve">Bounce rate, Apr 2025 (Semrush)</t>
  </si>
  <si>
    <t xml:space="preserve">58.53%</t>
  </si>
  <si>
    <t xml:space="preserve">69.64%</t>
  </si>
  <si>
    <t xml:space="preserve">Authority score, Apr 2025 (Semrush)</t>
  </si>
  <si>
    <t xml:space="preserve">89</t>
  </si>
  <si>
    <t xml:space="preserve">83</t>
  </si>
  <si>
    <t xml:space="preserve">Top organic keywords</t>
  </si>
  <si>
    <t xml:space="preserve">pw, pw login, physics wallah (all branded); also event keywords such as 'neet result 2024 topper list'</t>
  </si>
  <si>
    <t xml:space="preserve">unacademy, unacademy plus, unacademy login (all branded)</t>
  </si>
  <si>
    <t xml:space="preserve">vedantu (branded) is the top keyword</t>
  </si>
  <si>
    <t xml:space="preserve">Marketing approach</t>
  </si>
  <si>
    <t xml:space="preserve">Organic and founder-led; free YouTube lectures as the funnel; only recently more social ads</t>
  </si>
  <si>
    <t xml:space="preserve">Historically heavy paid marketing (over Rs 400 Cr per Inc42)</t>
  </si>
  <si>
    <t xml:space="preserve">Live-class model with free exam-specific YouTube channels</t>
  </si>
  <si>
    <t xml:space="preserve">Offline presence</t>
  </si>
  <si>
    <t xml:space="preserve">Yes: first centre in Kota (2022); IPO funds going to expand offline</t>
  </si>
  <si>
    <t xml:space="preserve">Yes: Kota learning centres launched, since scaled back</t>
  </si>
  <si>
    <t xml:space="preserve">Reported hybrid/offline pivot</t>
  </si>
  <si>
    <t xml:space="preserve">Content Comparison</t>
  </si>
  <si>
    <t xml:space="preserve">Based on each brand's public YouTube channels, descriptions and published coverage. Figures from Qoruz and VidIQ pages (see Sources).</t>
  </si>
  <si>
    <t xml:space="preserve">Aspect</t>
  </si>
  <si>
    <t xml:space="preserve">Physics Wallah</t>
  </si>
  <si>
    <t xml:space="preserve">Unacademy</t>
  </si>
  <si>
    <t xml:space="preserve">Vedantu</t>
  </si>
  <si>
    <t xml:space="preserve">Primary content format</t>
  </si>
  <si>
    <t xml:space="preserve">Long-form free lectures; full syllabus videos on YouTube</t>
  </si>
  <si>
    <t xml:space="preserve">Educator-led lessons split across many exam-specific channels</t>
  </si>
  <si>
    <t xml:space="preserve">Free lecture series, one-shots, marathons, shorts per exam/class (e.g. Vedantu JEE channel)</t>
  </si>
  <si>
    <t xml:space="preserve">Free vs paid funnel</t>
  </si>
  <si>
    <t xml:space="preserve">Free YouTube lectures act as the gateway to the paid app</t>
  </si>
  <si>
    <t xml:space="preserve">Free videos on YouTube; channel disclaimers say content is licensed from educators</t>
  </si>
  <si>
    <t xml:space="preserve">Free exam channels promote paid live classes</t>
  </si>
  <si>
    <t xml:space="preserve">Content breadth</t>
  </si>
  <si>
    <t xml:space="preserve">NEET, JEE, UPSC, banking, SSC and more; 13 education categories (FY25)</t>
  </si>
  <si>
    <t xml:space="preserve">JEE, NEET, UPSC, defence, state exams, Class 9-10</t>
  </si>
  <si>
    <t xml:space="preserve">Class 6-12, JEE, NEET; separate channels for Class 6-8 and 9-10</t>
  </si>
  <si>
    <t xml:space="preserve">Channel structure</t>
  </si>
  <si>
    <t xml:space="preserve">Flagship channel (14.3M) plus 207 YouTube channels with 98.8M subscribers combined (Jun 2025)</t>
  </si>
  <si>
    <t xml:space="preserve">Fragmented: e.g. Defence Squad 2.5M, JEE 2.3M, UPSC 1.1M, India main 1.4M</t>
  </si>
  <si>
    <t xml:space="preserve">Fragmented: Vedantu 9 &amp; 10 2.37M (Dec 2024), JEE 1.3M, Junior 609K</t>
  </si>
  <si>
    <t xml:space="preserve">Upload frequency</t>
  </si>
  <si>
    <t xml:space="preserve">Vedantu 9 &amp; 10: about 0.75 uploads/week (VidIQ, Dec 2024)</t>
  </si>
  <si>
    <t xml:space="preserve">Event-driven content</t>
  </si>
  <si>
    <t xml:space="preserve">Strong: ranks for result/topper keywords</t>
  </si>
  <si>
    <t xml:space="preserve">Social Media Comparison</t>
  </si>
  <si>
    <t xml:space="preserve">YouTube data: Qoruz (Jul-Sep 2026). Blue = hard-coded input from source; black = formula. Engagement rate = (avg likes + avg comments) / subscribers. 'Not found' = no reliable public figure.</t>
  </si>
  <si>
    <t xml:space="preserve">YouTube channel analysed</t>
  </si>
  <si>
    <t xml:space="preserve">Physics Wallah - Alakh Pandey (main)</t>
  </si>
  <si>
    <t xml:space="preserve">Unacademy India (main)</t>
  </si>
  <si>
    <t xml:space="preserve">Vedantu JEE (largest brand-named channel with data found)</t>
  </si>
  <si>
    <t xml:space="preserve">Data as of</t>
  </si>
  <si>
    <t xml:space="preserve">Aug 2026</t>
  </si>
  <si>
    <t xml:space="preserve">Sep 2026</t>
  </si>
  <si>
    <t xml:space="preserve">Subscribers</t>
  </si>
  <si>
    <t xml:space="preserve">Avg views per video</t>
  </si>
  <si>
    <t xml:space="preserve">Avg likes per video</t>
  </si>
  <si>
    <t xml:space="preserve">Avg comments per video</t>
  </si>
  <si>
    <t xml:space="preserve">Engagement rate (per subscriber)</t>
  </si>
  <si>
    <t xml:space="preserve">Avg views as % of subscribers</t>
  </si>
  <si>
    <t xml:space="preserve">Subscribers vs Physics Wallah (x)</t>
  </si>
  <si>
    <t xml:space="preserve">Instagram followers</t>
  </si>
  <si>
    <t xml:space="preserve">Instagram avg likes per post</t>
  </si>
  <si>
    <t xml:space="preserve">Instagram avg comments per post</t>
  </si>
  <si>
    <t xml:space="preserve">Instagram engagement rate</t>
  </si>
  <si>
    <t xml:space="preserve">Social strategy</t>
  </si>
  <si>
    <t xml:space="preserve">Founder-led brand, free lectures, toppers and results; community on Instagram</t>
  </si>
  <si>
    <t xml:space="preserve">Many exam-specific channels; Telegram groups for exam communities</t>
  </si>
  <si>
    <t xml:space="preserve">Exam/class-specific YouTube channels feeding live classes</t>
  </si>
  <si>
    <t xml:space="preserve">Competitor Strengths and Weaknesses</t>
  </si>
  <si>
    <t xml:space="preserve">Each point is tied to a figure in the other sheets.</t>
  </si>
  <si>
    <t xml:space="preserve">Competitor</t>
  </si>
  <si>
    <t xml:space="preserve">Strengths</t>
  </si>
  <si>
    <t xml:space="preserve">Weaknesses</t>
  </si>
  <si>
    <t xml:space="preserve">Evidence</t>
  </si>
  <si>
    <t xml:space="preserve">Dominant free-content engine: a 14.3M-subscriber flagship channel averaging 1.2M views per video, about 10x each rival's main channel. Strong Instagram (about 4.0M, 4.5% engagement). Affordable, organic, founder-led brand. Public listing and fast revenue growth give credibility.</t>
  </si>
  <si>
    <t xml:space="preserve">Search traffic is mostly branded, so it depends on existing brand pull. YouTube engagement per subscriber is low (0.32%). Heavy reliance on one founder-led brand.</t>
  </si>
  <si>
    <t xml:space="preserve">Social Comparison rows 7-13; Ahrefs keywords; TechCrunch IPO coverage</t>
  </si>
  <si>
    <t xml:space="preserve">Established exam-prep brand with a high authority score (89) and the lowest bounce rate of the two rivals measured (58.53%). Wide exam coverage (JEE, NEET, UPSC, defence). Traffic rose 9.79% in Dec 2025.</t>
  </si>
  <si>
    <t xml:space="preserve">Operations scaled back and staff cut; acquisition talks reported. Audience is split across many channels, so the main channel gets 58.4K average views on 1.4M subscribers. Top keywords are branded only.</t>
  </si>
  <si>
    <t xml:space="preserve">Semrush Apr/Dec 2025; Qoruz Aug 2026; TechCrunch Nov 2025</t>
  </si>
  <si>
    <t xml:space="preserve">Pioneer of live interactive tutoring with a clear K-12 position. Highest measured web traffic of the rivals (10.9M visits in Oct 2025). Free exam-specific channels feed its paid classes.</t>
  </si>
  <si>
    <t xml:space="preserve">Highest bounce rate (69.64%), so many visitors leave quickly. Traffic fell 3.93% in Oct 2025. Very low YouTube interaction on the JEE channel (avg 11.4K views on 1.3M subscribers; engagement 0.02%).</t>
  </si>
  <si>
    <t xml:space="preserve">Semrush Apr/Oct 2025; Qoruz Sep 2026</t>
  </si>
  <si>
    <t xml:space="preserve">Three Marketing Opportunities</t>
  </si>
  <si>
    <t xml:space="preserve">Gaps identified from the comparison, not copies of what competitors already do.</t>
  </si>
  <si>
    <t xml:space="preserve">#</t>
  </si>
  <si>
    <t xml:space="preserve">Gap spotted</t>
  </si>
  <si>
    <t xml:space="preserve">Proposed action</t>
  </si>
  <si>
    <t xml:space="preserve">Expected impact</t>
  </si>
  <si>
    <t xml:space="preserve">Event-driven content hubs</t>
  </si>
  <si>
    <t xml:space="preserve">Physics Wallah wins large spikes from result/topper keywords (185K visits from 'neet result 2024 topper list'), while every competitor's other top keywords are branded.</t>
  </si>
  <si>
    <t xml:space="preserve">Build evergreen hubs updated each exam cycle: results, cutoffs, syllabus, counselling and previous papers, each with a short explainer video.</t>
  </si>
  <si>
    <t xml:space="preserve">More non-branded organic traffic and lead capture in peak exam weeks</t>
  </si>
  <si>
    <t xml:space="preserve">Short-form video and community</t>
  </si>
  <si>
    <t xml:space="preserve">PW's Instagram engagement (about 4.5%) is roughly 14x its YouTube per-subscriber engagement (0.32%). No comparable public Instagram data was found for Unacademy or Vedantu.</t>
  </si>
  <si>
    <t xml:space="preserve">Weekly Reels/Shorts (doubt of the day, 60-second concept, topper tips) plus a Telegram/WhatsApp community per exam.</t>
  </si>
  <si>
    <t xml:space="preserve">Higher engagement per post, cheaper reach, a retained audience</t>
  </si>
  <si>
    <t xml:space="preserve">One strong flagship free-content brand</t>
  </si>
  <si>
    <t xml:space="preserve">Unacademy and Vedantu split audiences across many channels; their main/JEE channels get 4.2% and 0.9% average views per subscriber vs 8.4% for PW.</t>
  </si>
  <si>
    <t xml:space="preserve">Concentrate free lectures on one flagship channel per segment, with consistent weekly series and clear paid-course calls to action.</t>
  </si>
  <si>
    <t xml:space="preserve">Higher views per video, stronger brand recall, better free-to-paid conversion</t>
  </si>
  <si>
    <t xml:space="preserve">Sources and Limitations</t>
  </si>
  <si>
    <t xml:space="preserve">Third-party estimates differ by tool, month and method. Compare figures only within the same row. Re-run the SEO rows in Similarweb/Ubersuggest to refresh.</t>
  </si>
  <si>
    <t xml:space="preserve">Used for</t>
  </si>
  <si>
    <t xml:space="preserve">Source</t>
  </si>
  <si>
    <t xml:space="preserve">URL</t>
  </si>
  <si>
    <t xml:space="preserve">PW organic visits, keywords, India share (Jun 2025)</t>
  </si>
  <si>
    <t xml:space="preserve">Ahrefs</t>
  </si>
  <si>
    <t xml:space="preserve">https://ahrefs.com/websites/pw.live</t>
  </si>
  <si>
    <t xml:space="preserve">Unacademy competitors/visits/bounce/authority (Apr 2025)</t>
  </si>
  <si>
    <t xml:space="preserve">Semrush</t>
  </si>
  <si>
    <t xml:space="preserve">https://tr.semrush.com/website/unacademy.com/competitors</t>
  </si>
  <si>
    <t xml:space="preserve">Vedantu competitors/visits/bounce/authority (Apr 2025)</t>
  </si>
  <si>
    <t xml:space="preserve">https://ja.semrush.com/website/vedantu.com/competitors</t>
  </si>
  <si>
    <t xml:space="preserve">Unacademy visits Dec 2025 and keywords</t>
  </si>
  <si>
    <t xml:space="preserve">https://de.semrush.com/website/unacademy.com/overview/</t>
  </si>
  <si>
    <t xml:space="preserve">Vedantu visits Oct 2025 and keywords</t>
  </si>
  <si>
    <t xml:space="preserve">https://de.semrush.com/website/vedantu.com/overview/</t>
  </si>
  <si>
    <t xml:space="preserve">PW YouTube main channel (Aug 2026)</t>
  </si>
  <si>
    <t xml:space="preserve">Qoruz</t>
  </si>
  <si>
    <t xml:space="preserve">https://qoruz.com/Physics_Wallah_Alakh_Pandey/youtube</t>
  </si>
  <si>
    <t xml:space="preserve">PW Instagram (Jul 2026)</t>
  </si>
  <si>
    <t xml:space="preserve">https://qoruz.com/physicswallah/instagram</t>
  </si>
  <si>
    <t xml:space="preserve">Unacademy India YouTube (Aug 2026)</t>
  </si>
  <si>
    <t xml:space="preserve">https://qoruz.com/Unacademy_India/youtube</t>
  </si>
  <si>
    <t xml:space="preserve">Vedantu JEE YouTube (Sep 2026)</t>
  </si>
  <si>
    <t xml:space="preserve">https://qoruz.com/@vedantu_learn/youtube</t>
  </si>
  <si>
    <t xml:space="preserve">Vedantu 9 &amp; 10 channel stats (Dec 2024)</t>
  </si>
  <si>
    <t xml:space="preserve">VidIQ</t>
  </si>
  <si>
    <t xml:space="preserve">https://vidiq.com/youtube-stats/channel/UCMY7ZvLB6-DnuSis_2s37_A</t>
  </si>
  <si>
    <t xml:space="preserve">PW IPO, Unacademy scale-back and upGrad talks</t>
  </si>
  <si>
    <t xml:space="preserve">TechCrunch</t>
  </si>
  <si>
    <t xml:space="preserve">https://techcrunch.com/2025/11/18/physics-wallah-enjoys-a-rosy-ipo-day-bucking-the-broader-slowdown-in-indian-edtech</t>
  </si>
  <si>
    <t xml:space="preserve">PW 207 channels, 98.8M subscribers; 13 categories</t>
  </si>
  <si>
    <t xml:space="preserve">Storyboard18</t>
  </si>
  <si>
    <t xml:space="preserve">https://www.storyboard18.com/amp/brand-marketing/physicswallah-reports-4-13-million-paying-users-in-fy25-diversifies-across-13-education-segments-82106.htm</t>
  </si>
  <si>
    <t xml:space="preserve">PW organic growth vs Unacademy marketing spend</t>
  </si>
  <si>
    <t xml:space="preserve">Inc42</t>
  </si>
  <si>
    <t xml:space="preserve">https://inc42.com/?p=294829</t>
  </si>
  <si>
    <t xml:space="preserve">PW FY26 revenue</t>
  </si>
  <si>
    <t xml:space="preserve">Inc42 Datalabs</t>
  </si>
  <si>
    <t xml:space="preserve">https://inc42.com/company/physicswallah/latest/</t>
  </si>
  <si>
    <t xml:space="preserve">Offline expansion by PW, Unacademy, Vedantu</t>
  </si>
  <si>
    <t xml:space="preserve">https://inc42.com/buzz/after-byjus-unacademy-edtech-unicorn-physicswallah-forays-into-offline-space/</t>
  </si>
  <si>
    <t xml:space="preserve">PW five vernacular languages</t>
  </si>
  <si>
    <t xml:space="preserve">https://techcrunch.com/2024/09/19/indias-physics-wallah-raises-210m-at-2-8b-valuation-even-as-edtech-funding-remains-scarce</t>
  </si>
  <si>
    <t xml:space="preserve">Limitations:</t>
  </si>
  <si>
    <t xml:space="preserve">1. SEO figures are published third-party snapshots from different tools and months, not same-day exports, so cross-tool comparisons are indicative only.</t>
  </si>
  <si>
    <t xml:space="preserve">2. Unacademy and Vedantu run many channels; the channel analysed for each is stated in Social Comparison.</t>
  </si>
  <si>
    <t xml:space="preserve">3. Qoruz and VidIQ engagement figures are third-party estimates.</t>
  </si>
  <si>
    <t xml:space="preserve">4. 'Not found' means no reliable public figure was located, not that the metric is zero.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</si>
</sst>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0.00%"/>
    <numFmt numFmtId="167" formatCode="0.0%"/>
    <numFmt numFmtId="168" formatCode="0.00\x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2F3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4" min="2" style="0" width="46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23.85" hidden="false" customHeight="false" outlineLevel="0" collapsed="false">
      <c r="A5" s="4" t="s">
        <v>6</v>
      </c>
      <c r="B5" s="5" t="s">
        <v>7</v>
      </c>
      <c r="C5" s="5" t="s">
        <v>8</v>
      </c>
      <c r="D5" s="5" t="s">
        <v>9</v>
      </c>
    </row>
    <row r="6" customFormat="false" ht="23.85" hidden="false" customHeight="false" outlineLevel="0" collapsed="false">
      <c r="A6" s="4" t="s">
        <v>10</v>
      </c>
      <c r="B6" s="5" t="s">
        <v>11</v>
      </c>
      <c r="C6" s="5" t="s">
        <v>12</v>
      </c>
      <c r="D6" s="5" t="s">
        <v>13</v>
      </c>
    </row>
    <row r="7" customFormat="false" ht="15" hidden="false" customHeight="false" outlineLevel="0" collapsed="false">
      <c r="A7" s="4" t="s">
        <v>14</v>
      </c>
      <c r="B7" s="5" t="s">
        <v>15</v>
      </c>
      <c r="C7" s="5" t="s">
        <v>16</v>
      </c>
      <c r="D7" s="5" t="s">
        <v>16</v>
      </c>
    </row>
    <row r="8" customFormat="false" ht="23.85" hidden="false" customHeight="false" outlineLevel="0" collapsed="false">
      <c r="A8" s="4" t="s">
        <v>17</v>
      </c>
      <c r="B8" s="5" t="s">
        <v>16</v>
      </c>
      <c r="C8" s="5" t="s">
        <v>18</v>
      </c>
      <c r="D8" s="5" t="s">
        <v>19</v>
      </c>
    </row>
    <row r="9" customFormat="false" ht="15" hidden="false" customHeight="false" outlineLevel="0" collapsed="false">
      <c r="A9" s="4" t="s">
        <v>20</v>
      </c>
      <c r="B9" s="5" t="s">
        <v>16</v>
      </c>
      <c r="C9" s="5" t="s">
        <v>21</v>
      </c>
      <c r="D9" s="5" t="s">
        <v>22</v>
      </c>
    </row>
    <row r="10" customFormat="false" ht="23.85" hidden="false" customHeight="false" outlineLevel="0" collapsed="false">
      <c r="A10" s="4" t="s">
        <v>23</v>
      </c>
      <c r="B10" s="5" t="s">
        <v>24</v>
      </c>
      <c r="C10" s="5" t="s">
        <v>16</v>
      </c>
      <c r="D10" s="5" t="s">
        <v>16</v>
      </c>
    </row>
    <row r="11" customFormat="false" ht="15" hidden="false" customHeight="false" outlineLevel="0" collapsed="false">
      <c r="A11" s="4" t="s">
        <v>25</v>
      </c>
      <c r="B11" s="5" t="s">
        <v>16</v>
      </c>
      <c r="C11" s="5" t="s">
        <v>26</v>
      </c>
      <c r="D11" s="5" t="s">
        <v>27</v>
      </c>
    </row>
    <row r="12" customFormat="false" ht="15" hidden="false" customHeight="false" outlineLevel="0" collapsed="false">
      <c r="A12" s="4" t="s">
        <v>28</v>
      </c>
      <c r="B12" s="5" t="s">
        <v>16</v>
      </c>
      <c r="C12" s="5" t="s">
        <v>29</v>
      </c>
      <c r="D12" s="5" t="s">
        <v>30</v>
      </c>
    </row>
    <row r="13" customFormat="false" ht="23.85" hidden="false" customHeight="false" outlineLevel="0" collapsed="false">
      <c r="A13" s="4" t="s">
        <v>31</v>
      </c>
      <c r="B13" s="5" t="s">
        <v>32</v>
      </c>
      <c r="C13" s="5" t="s">
        <v>33</v>
      </c>
      <c r="D13" s="5" t="s">
        <v>34</v>
      </c>
    </row>
    <row r="14" customFormat="false" ht="23.85" hidden="false" customHeight="false" outlineLevel="0" collapsed="false">
      <c r="A14" s="4" t="s">
        <v>35</v>
      </c>
      <c r="B14" s="5" t="s">
        <v>36</v>
      </c>
      <c r="C14" s="5" t="s">
        <v>37</v>
      </c>
      <c r="D14" s="5" t="s">
        <v>38</v>
      </c>
    </row>
    <row r="15" customFormat="false" ht="23.85" hidden="false" customHeight="false" outlineLevel="0" collapsed="false">
      <c r="A15" s="4" t="s">
        <v>39</v>
      </c>
      <c r="B15" s="5" t="s">
        <v>40</v>
      </c>
      <c r="C15" s="5" t="s">
        <v>41</v>
      </c>
      <c r="D15" s="5" t="s">
        <v>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4" min="2" style="0" width="48"/>
  </cols>
  <sheetData>
    <row r="1" customFormat="false" ht="17.35" hidden="false" customHeight="false" outlineLevel="0" collapsed="false">
      <c r="A1" s="1" t="s">
        <v>43</v>
      </c>
    </row>
    <row r="2" customFormat="false" ht="15" hidden="false" customHeight="false" outlineLevel="0" collapsed="false">
      <c r="A2" s="2" t="s">
        <v>44</v>
      </c>
    </row>
    <row r="4" customFormat="false" ht="15" hidden="false" customHeight="false" outlineLevel="0" collapsed="false">
      <c r="A4" s="3" t="s">
        <v>45</v>
      </c>
      <c r="B4" s="3" t="s">
        <v>46</v>
      </c>
      <c r="C4" s="3" t="s">
        <v>47</v>
      </c>
      <c r="D4" s="3" t="s">
        <v>48</v>
      </c>
    </row>
    <row r="5" customFormat="false" ht="23.85" hidden="false" customHeight="false" outlineLevel="0" collapsed="false">
      <c r="A5" s="4" t="s">
        <v>49</v>
      </c>
      <c r="B5" s="5" t="s">
        <v>50</v>
      </c>
      <c r="C5" s="5" t="s">
        <v>51</v>
      </c>
      <c r="D5" s="5" t="s">
        <v>52</v>
      </c>
    </row>
    <row r="6" customFormat="false" ht="23.85" hidden="false" customHeight="false" outlineLevel="0" collapsed="false">
      <c r="A6" s="4" t="s">
        <v>53</v>
      </c>
      <c r="B6" s="5" t="s">
        <v>54</v>
      </c>
      <c r="C6" s="5" t="s">
        <v>55</v>
      </c>
      <c r="D6" s="5" t="s">
        <v>56</v>
      </c>
    </row>
    <row r="7" customFormat="false" ht="23.85" hidden="false" customHeight="false" outlineLevel="0" collapsed="false">
      <c r="A7" s="4" t="s">
        <v>57</v>
      </c>
      <c r="B7" s="5" t="s">
        <v>58</v>
      </c>
      <c r="C7" s="5" t="s">
        <v>59</v>
      </c>
      <c r="D7" s="5" t="s">
        <v>60</v>
      </c>
    </row>
    <row r="8" customFormat="false" ht="23.85" hidden="false" customHeight="false" outlineLevel="0" collapsed="false">
      <c r="A8" s="4" t="s">
        <v>61</v>
      </c>
      <c r="B8" s="5" t="s">
        <v>62</v>
      </c>
      <c r="C8" s="5" t="s">
        <v>63</v>
      </c>
      <c r="D8" s="5" t="s">
        <v>64</v>
      </c>
    </row>
    <row r="9" customFormat="false" ht="23.85" hidden="false" customHeight="false" outlineLevel="0" collapsed="false">
      <c r="A9" s="4" t="s">
        <v>65</v>
      </c>
      <c r="B9" s="5" t="s">
        <v>16</v>
      </c>
      <c r="C9" s="5" t="s">
        <v>16</v>
      </c>
      <c r="D9" s="5" t="s">
        <v>66</v>
      </c>
    </row>
    <row r="10" customFormat="false" ht="15" hidden="false" customHeight="false" outlineLevel="0" collapsed="false">
      <c r="A10" s="4" t="s">
        <v>67</v>
      </c>
      <c r="B10" s="5" t="s">
        <v>68</v>
      </c>
      <c r="C10" s="5" t="s">
        <v>16</v>
      </c>
      <c r="D10" s="5" t="s"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4" min="2" style="0" width="40"/>
  </cols>
  <sheetData>
    <row r="1" customFormat="false" ht="17.35" hidden="false" customHeight="false" outlineLevel="0" collapsed="false">
      <c r="A1" s="1" t="s">
        <v>69</v>
      </c>
    </row>
    <row r="2" customFormat="false" ht="15" hidden="false" customHeight="false" outlineLevel="0" collapsed="false">
      <c r="A2" s="2" t="s">
        <v>70</v>
      </c>
    </row>
    <row r="4" customFormat="false" ht="15" hidden="false" customHeight="false" outlineLevel="0" collapsed="false">
      <c r="A4" s="3" t="s">
        <v>2</v>
      </c>
      <c r="B4" s="3" t="s">
        <v>46</v>
      </c>
      <c r="C4" s="3" t="s">
        <v>47</v>
      </c>
      <c r="D4" s="3" t="s">
        <v>48</v>
      </c>
    </row>
    <row r="5" customFormat="false" ht="23.85" hidden="false" customHeight="false" outlineLevel="0" collapsed="false">
      <c r="A5" s="4" t="s">
        <v>71</v>
      </c>
      <c r="B5" s="5" t="s">
        <v>72</v>
      </c>
      <c r="C5" s="5" t="s">
        <v>73</v>
      </c>
      <c r="D5" s="5" t="s">
        <v>74</v>
      </c>
    </row>
    <row r="6" customFormat="false" ht="15" hidden="false" customHeight="false" outlineLevel="0" collapsed="false">
      <c r="A6" s="4" t="s">
        <v>75</v>
      </c>
      <c r="B6" s="5" t="s">
        <v>76</v>
      </c>
      <c r="C6" s="5" t="s">
        <v>76</v>
      </c>
      <c r="D6" s="5" t="s">
        <v>77</v>
      </c>
    </row>
    <row r="7" customFormat="false" ht="15" hidden="false" customHeight="false" outlineLevel="0" collapsed="false">
      <c r="A7" s="4" t="s">
        <v>78</v>
      </c>
      <c r="B7" s="6" t="n">
        <v>14300000</v>
      </c>
      <c r="C7" s="6" t="n">
        <v>1400000</v>
      </c>
      <c r="D7" s="6" t="n">
        <v>1300000</v>
      </c>
    </row>
    <row r="8" customFormat="false" ht="15" hidden="false" customHeight="false" outlineLevel="0" collapsed="false">
      <c r="A8" s="4" t="s">
        <v>79</v>
      </c>
      <c r="B8" s="6" t="n">
        <v>1200000</v>
      </c>
      <c r="C8" s="6" t="n">
        <v>58400</v>
      </c>
      <c r="D8" s="6" t="n">
        <v>11400</v>
      </c>
    </row>
    <row r="9" customFormat="false" ht="15" hidden="false" customHeight="false" outlineLevel="0" collapsed="false">
      <c r="A9" s="4" t="s">
        <v>80</v>
      </c>
      <c r="B9" s="6" t="n">
        <v>41400</v>
      </c>
      <c r="C9" s="6" t="n">
        <v>1700</v>
      </c>
      <c r="D9" s="6" t="n">
        <v>270</v>
      </c>
    </row>
    <row r="10" customFormat="false" ht="15" hidden="false" customHeight="false" outlineLevel="0" collapsed="false">
      <c r="A10" s="4" t="s">
        <v>81</v>
      </c>
      <c r="B10" s="6" t="n">
        <v>4200</v>
      </c>
      <c r="C10" s="6" t="n">
        <v>136</v>
      </c>
      <c r="D10" s="6" t="n">
        <v>20</v>
      </c>
    </row>
    <row r="11" customFormat="false" ht="15" hidden="false" customHeight="false" outlineLevel="0" collapsed="false">
      <c r="A11" s="4" t="s">
        <v>82</v>
      </c>
      <c r="B11" s="7" t="n">
        <f aca="false">IFERROR((B9+B10)/B7,0)</f>
        <v>0.00318881118881119</v>
      </c>
      <c r="C11" s="7" t="n">
        <f aca="false">IFERROR((C9+C10)/C7,0)</f>
        <v>0.00131142857142857</v>
      </c>
      <c r="D11" s="7" t="n">
        <f aca="false">IFERROR((D9+D10)/D7,0)</f>
        <v>0.000223076923076923</v>
      </c>
    </row>
    <row r="12" customFormat="false" ht="15" hidden="false" customHeight="false" outlineLevel="0" collapsed="false">
      <c r="A12" s="4" t="s">
        <v>83</v>
      </c>
      <c r="B12" s="8" t="n">
        <f aca="false">IFERROR(B8/B7,0)</f>
        <v>0.0839160839160839</v>
      </c>
      <c r="C12" s="8" t="n">
        <f aca="false">IFERROR(C8/C7,0)</f>
        <v>0.0417142857142857</v>
      </c>
      <c r="D12" s="8" t="n">
        <f aca="false">IFERROR(D8/D7,0)</f>
        <v>0.00876923076923077</v>
      </c>
    </row>
    <row r="13" customFormat="false" ht="15" hidden="false" customHeight="false" outlineLevel="0" collapsed="false">
      <c r="A13" s="4" t="s">
        <v>84</v>
      </c>
      <c r="B13" s="9" t="n">
        <f aca="false">IFERROR(B7/$B$7,0)</f>
        <v>1</v>
      </c>
      <c r="C13" s="9" t="n">
        <f aca="false">IFERROR(C7/$B$7,0)</f>
        <v>0.0979020979020979</v>
      </c>
      <c r="D13" s="9" t="n">
        <f aca="false">IFERROR(D7/$B$7,0)</f>
        <v>0.0909090909090909</v>
      </c>
    </row>
    <row r="14" customFormat="false" ht="15" hidden="false" customHeight="false" outlineLevel="0" collapsed="false">
      <c r="A14" s="4" t="s">
        <v>85</v>
      </c>
      <c r="B14" s="6" t="n">
        <v>4000000</v>
      </c>
      <c r="C14" s="10" t="s">
        <v>16</v>
      </c>
      <c r="D14" s="10" t="s">
        <v>16</v>
      </c>
    </row>
    <row r="15" customFormat="false" ht="15" hidden="false" customHeight="false" outlineLevel="0" collapsed="false">
      <c r="A15" s="4" t="s">
        <v>86</v>
      </c>
      <c r="B15" s="6" t="n">
        <v>178500</v>
      </c>
      <c r="C15" s="10" t="s">
        <v>16</v>
      </c>
      <c r="D15" s="10" t="s">
        <v>16</v>
      </c>
    </row>
    <row r="16" customFormat="false" ht="15" hidden="false" customHeight="false" outlineLevel="0" collapsed="false">
      <c r="A16" s="4" t="s">
        <v>87</v>
      </c>
      <c r="B16" s="6" t="n">
        <v>2500</v>
      </c>
      <c r="C16" s="10" t="s">
        <v>16</v>
      </c>
      <c r="D16" s="10" t="s">
        <v>16</v>
      </c>
    </row>
    <row r="17" customFormat="false" ht="15" hidden="false" customHeight="false" outlineLevel="0" collapsed="false">
      <c r="A17" s="4" t="s">
        <v>88</v>
      </c>
      <c r="B17" s="7" t="n">
        <f aca="false">IFERROR((B15+B16)/B14,"n/a")</f>
        <v>0.04525</v>
      </c>
      <c r="C17" s="7" t="str">
        <f aca="false">IFERROR((C15+C16)/C14,"n/a")</f>
        <v>n/a</v>
      </c>
      <c r="D17" s="7" t="str">
        <f aca="false">IFERROR((D15+D16)/D14,"n/a")</f>
        <v>n/a</v>
      </c>
    </row>
    <row r="18" customFormat="false" ht="23.85" hidden="false" customHeight="false" outlineLevel="0" collapsed="false">
      <c r="A18" s="4" t="s">
        <v>89</v>
      </c>
      <c r="B18" s="5" t="s">
        <v>90</v>
      </c>
      <c r="C18" s="5" t="s">
        <v>91</v>
      </c>
      <c r="D18" s="5" t="s">
        <v>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3" min="2" style="0" width="55"/>
    <col collapsed="false" customWidth="true" hidden="false" outlineLevel="0" max="4" min="4" style="0" width="36"/>
  </cols>
  <sheetData>
    <row r="1" customFormat="false" ht="17.35" hidden="false" customHeight="false" outlineLevel="0" collapsed="false">
      <c r="A1" s="1" t="s">
        <v>93</v>
      </c>
    </row>
    <row r="2" customFormat="false" ht="15" hidden="false" customHeight="false" outlineLevel="0" collapsed="false">
      <c r="A2" s="2" t="s">
        <v>94</v>
      </c>
    </row>
    <row r="4" customFormat="false" ht="15" hidden="false" customHeight="false" outlineLevel="0" collapsed="false">
      <c r="A4" s="3" t="s">
        <v>95</v>
      </c>
      <c r="B4" s="3" t="s">
        <v>96</v>
      </c>
      <c r="C4" s="3" t="s">
        <v>97</v>
      </c>
      <c r="D4" s="3" t="s">
        <v>98</v>
      </c>
    </row>
    <row r="5" customFormat="false" ht="120" hidden="false" customHeight="true" outlineLevel="0" collapsed="false">
      <c r="A5" s="4" t="s">
        <v>46</v>
      </c>
      <c r="B5" s="5" t="s">
        <v>99</v>
      </c>
      <c r="C5" s="5" t="s">
        <v>100</v>
      </c>
      <c r="D5" s="5" t="s">
        <v>101</v>
      </c>
    </row>
    <row r="6" customFormat="false" ht="120" hidden="false" customHeight="true" outlineLevel="0" collapsed="false">
      <c r="A6" s="4" t="s">
        <v>47</v>
      </c>
      <c r="B6" s="5" t="s">
        <v>102</v>
      </c>
      <c r="C6" s="5" t="s">
        <v>103</v>
      </c>
      <c r="D6" s="5" t="s">
        <v>104</v>
      </c>
    </row>
    <row r="7" customFormat="false" ht="120" hidden="false" customHeight="true" outlineLevel="0" collapsed="false">
      <c r="A7" s="4" t="s">
        <v>48</v>
      </c>
      <c r="B7" s="5" t="s">
        <v>105</v>
      </c>
      <c r="C7" s="5" t="s">
        <v>106</v>
      </c>
      <c r="D7" s="5" t="s">
        <v>107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0"/>
    <col collapsed="false" customWidth="true" hidden="false" outlineLevel="0" max="4" min="3" style="0" width="50"/>
    <col collapsed="false" customWidth="true" hidden="false" outlineLevel="0" max="5" min="5" style="0" width="34"/>
  </cols>
  <sheetData>
    <row r="1" customFormat="false" ht="17.35" hidden="false" customHeight="false" outlineLevel="0" collapsed="false">
      <c r="A1" s="1" t="s">
        <v>108</v>
      </c>
    </row>
    <row r="2" customFormat="false" ht="15" hidden="false" customHeight="false" outlineLevel="0" collapsed="false">
      <c r="A2" s="2" t="s">
        <v>109</v>
      </c>
    </row>
    <row r="4" customFormat="false" ht="15" hidden="false" customHeight="false" outlineLevel="0" collapsed="false">
      <c r="A4" s="3" t="s">
        <v>110</v>
      </c>
      <c r="B4" s="3" t="s">
        <v>111</v>
      </c>
      <c r="C4" s="3" t="s">
        <v>98</v>
      </c>
      <c r="D4" s="3" t="s">
        <v>112</v>
      </c>
      <c r="E4" s="3" t="s">
        <v>113</v>
      </c>
    </row>
    <row r="5" customFormat="false" ht="105" hidden="false" customHeight="true" outlineLevel="0" collapsed="false">
      <c r="A5" s="4" t="n">
        <v>1</v>
      </c>
      <c r="B5" s="5" t="s">
        <v>114</v>
      </c>
      <c r="C5" s="5" t="s">
        <v>115</v>
      </c>
      <c r="D5" s="5" t="s">
        <v>116</v>
      </c>
      <c r="E5" s="5" t="s">
        <v>117</v>
      </c>
    </row>
    <row r="6" customFormat="false" ht="105" hidden="false" customHeight="true" outlineLevel="0" collapsed="false">
      <c r="A6" s="4" t="n">
        <v>2</v>
      </c>
      <c r="B6" s="5" t="s">
        <v>118</v>
      </c>
      <c r="C6" s="5" t="s">
        <v>119</v>
      </c>
      <c r="D6" s="5" t="s">
        <v>120</v>
      </c>
      <c r="E6" s="5" t="s">
        <v>121</v>
      </c>
    </row>
    <row r="7" customFormat="false" ht="105" hidden="false" customHeight="true" outlineLevel="0" collapsed="false">
      <c r="A7" s="4" t="n">
        <v>3</v>
      </c>
      <c r="B7" s="5" t="s">
        <v>122</v>
      </c>
      <c r="C7" s="5" t="s">
        <v>123</v>
      </c>
      <c r="D7" s="5" t="s">
        <v>124</v>
      </c>
      <c r="E7" s="5" t="s">
        <v>125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8"/>
    <col collapsed="false" customWidth="true" hidden="false" outlineLevel="0" max="3" min="3" style="0" width="100"/>
  </cols>
  <sheetData>
    <row r="1" customFormat="false" ht="17.35" hidden="false" customHeight="false" outlineLevel="0" collapsed="false">
      <c r="A1" s="1" t="s">
        <v>126</v>
      </c>
    </row>
    <row r="2" customFormat="false" ht="15" hidden="false" customHeight="false" outlineLevel="0" collapsed="false">
      <c r="A2" s="2" t="s">
        <v>127</v>
      </c>
    </row>
    <row r="4" customFormat="false" ht="15" hidden="false" customHeight="false" outlineLevel="0" collapsed="false">
      <c r="A4" s="3" t="s">
        <v>128</v>
      </c>
      <c r="B4" s="3" t="s">
        <v>129</v>
      </c>
      <c r="C4" s="3" t="s">
        <v>130</v>
      </c>
    </row>
    <row r="5" customFormat="false" ht="15" hidden="false" customHeight="false" outlineLevel="0" collapsed="false">
      <c r="A5" s="5" t="s">
        <v>131</v>
      </c>
      <c r="B5" s="5" t="s">
        <v>132</v>
      </c>
      <c r="C5" s="5" t="s">
        <v>133</v>
      </c>
    </row>
    <row r="6" customFormat="false" ht="15" hidden="false" customHeight="false" outlineLevel="0" collapsed="false">
      <c r="A6" s="5" t="s">
        <v>134</v>
      </c>
      <c r="B6" s="5" t="s">
        <v>135</v>
      </c>
      <c r="C6" s="5" t="s">
        <v>136</v>
      </c>
    </row>
    <row r="7" customFormat="false" ht="15" hidden="false" customHeight="false" outlineLevel="0" collapsed="false">
      <c r="A7" s="5" t="s">
        <v>137</v>
      </c>
      <c r="B7" s="5" t="s">
        <v>135</v>
      </c>
      <c r="C7" s="5" t="s">
        <v>138</v>
      </c>
    </row>
    <row r="8" customFormat="false" ht="15" hidden="false" customHeight="false" outlineLevel="0" collapsed="false">
      <c r="A8" s="5" t="s">
        <v>139</v>
      </c>
      <c r="B8" s="5" t="s">
        <v>135</v>
      </c>
      <c r="C8" s="5" t="s">
        <v>140</v>
      </c>
    </row>
    <row r="9" customFormat="false" ht="15" hidden="false" customHeight="false" outlineLevel="0" collapsed="false">
      <c r="A9" s="5" t="s">
        <v>141</v>
      </c>
      <c r="B9" s="5" t="s">
        <v>135</v>
      </c>
      <c r="C9" s="5" t="s">
        <v>142</v>
      </c>
    </row>
    <row r="10" customFormat="false" ht="15" hidden="false" customHeight="false" outlineLevel="0" collapsed="false">
      <c r="A10" s="5" t="s">
        <v>143</v>
      </c>
      <c r="B10" s="5" t="s">
        <v>144</v>
      </c>
      <c r="C10" s="5" t="s">
        <v>145</v>
      </c>
    </row>
    <row r="11" customFormat="false" ht="15" hidden="false" customHeight="false" outlineLevel="0" collapsed="false">
      <c r="A11" s="5" t="s">
        <v>146</v>
      </c>
      <c r="B11" s="5" t="s">
        <v>144</v>
      </c>
      <c r="C11" s="5" t="s">
        <v>147</v>
      </c>
    </row>
    <row r="12" customFormat="false" ht="15" hidden="false" customHeight="false" outlineLevel="0" collapsed="false">
      <c r="A12" s="5" t="s">
        <v>148</v>
      </c>
      <c r="B12" s="5" t="s">
        <v>144</v>
      </c>
      <c r="C12" s="5" t="s">
        <v>149</v>
      </c>
    </row>
    <row r="13" customFormat="false" ht="15" hidden="false" customHeight="false" outlineLevel="0" collapsed="false">
      <c r="A13" s="5" t="s">
        <v>150</v>
      </c>
      <c r="B13" s="5" t="s">
        <v>144</v>
      </c>
      <c r="C13" s="5" t="s">
        <v>151</v>
      </c>
    </row>
    <row r="14" customFormat="false" ht="15" hidden="false" customHeight="false" outlineLevel="0" collapsed="false">
      <c r="A14" s="5" t="s">
        <v>152</v>
      </c>
      <c r="B14" s="5" t="s">
        <v>153</v>
      </c>
      <c r="C14" s="5" t="s">
        <v>154</v>
      </c>
    </row>
    <row r="15" customFormat="false" ht="15" hidden="false" customHeight="false" outlineLevel="0" collapsed="false">
      <c r="A15" s="5" t="s">
        <v>155</v>
      </c>
      <c r="B15" s="5" t="s">
        <v>156</v>
      </c>
      <c r="C15" s="5" t="s">
        <v>157</v>
      </c>
    </row>
    <row r="16" customFormat="false" ht="23.85" hidden="false" customHeight="false" outlineLevel="0" collapsed="false">
      <c r="A16" s="5" t="s">
        <v>158</v>
      </c>
      <c r="B16" s="5" t="s">
        <v>159</v>
      </c>
      <c r="C16" s="5" t="s">
        <v>160</v>
      </c>
    </row>
    <row r="17" customFormat="false" ht="15" hidden="false" customHeight="false" outlineLevel="0" collapsed="false">
      <c r="A17" s="5" t="s">
        <v>161</v>
      </c>
      <c r="B17" s="5" t="s">
        <v>162</v>
      </c>
      <c r="C17" s="5" t="s">
        <v>163</v>
      </c>
    </row>
    <row r="18" customFormat="false" ht="15" hidden="false" customHeight="false" outlineLevel="0" collapsed="false">
      <c r="A18" s="5" t="s">
        <v>164</v>
      </c>
      <c r="B18" s="5" t="s">
        <v>165</v>
      </c>
      <c r="C18" s="5" t="s">
        <v>166</v>
      </c>
    </row>
    <row r="19" customFormat="false" ht="15" hidden="false" customHeight="false" outlineLevel="0" collapsed="false">
      <c r="A19" s="5" t="s">
        <v>167</v>
      </c>
      <c r="B19" s="5" t="s">
        <v>162</v>
      </c>
      <c r="C19" s="5" t="s">
        <v>168</v>
      </c>
    </row>
    <row r="20" customFormat="false" ht="23.85" hidden="false" customHeight="false" outlineLevel="0" collapsed="false">
      <c r="A20" s="5" t="s">
        <v>169</v>
      </c>
      <c r="B20" s="5" t="s">
        <v>156</v>
      </c>
      <c r="C20" s="5" t="s">
        <v>170</v>
      </c>
    </row>
    <row r="22" customFormat="false" ht="15" hidden="false" customHeight="false" outlineLevel="0" collapsed="false">
      <c r="A22" s="11" t="s">
        <v>171</v>
      </c>
    </row>
    <row r="23" customFormat="false" ht="15" hidden="false" customHeight="false" outlineLevel="0" collapsed="false">
      <c r="A23" s="12" t="s">
        <v>172</v>
      </c>
    </row>
    <row r="24" customFormat="false" ht="15" hidden="false" customHeight="false" outlineLevel="0" collapsed="false">
      <c r="A24" s="12" t="s">
        <v>173</v>
      </c>
    </row>
    <row r="25" customFormat="false" ht="15" hidden="false" customHeight="false" outlineLevel="0" collapsed="false">
      <c r="A25" s="12" t="s">
        <v>174</v>
      </c>
    </row>
    <row r="26" customFormat="false" ht="15" hidden="false" customHeight="false" outlineLevel="0" collapsed="false">
      <c r="A26" s="12" t="s">
        <v>175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2026-10-02T06:43:00Z</dcterms:created>
  <dc:creator>openpyxl</dc:creator>
  <dc:description/>
  <dc:language>en-US</dc:language>
  <cp:lastModifiedBy/>
  <dcterms:modified xsi:type="dcterms:W3CDTF">2026-10-02T06:43:00Z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